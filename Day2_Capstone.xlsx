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730E517-4828-483F-AA1D-CADF5E52D261}" xr6:coauthVersionLast="47" xr6:coauthVersionMax="47" xr10:uidLastSave="{00000000-0000-0000-0000-000000000000}"/>
  <bookViews>
    <workbookView xWindow="-108" yWindow="-108" windowWidth="23256" windowHeight="12456" xr2:uid="{68DF9F7B-45CF-4967-BE17-96FA1CC8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<sst xmlns="http://schemas.openxmlformats.org/spreadsheetml/2006/main" count="56" uniqueCount="38">
  <si>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</si>
  <si>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</si>
  <si>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</si>
  <si>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</si>
  <si>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</si>
  <si>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</si>
  <si>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</si>
  <si>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</si>
  <si>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</si>
  <si>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</si>
  <si>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</si>
  <si>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</si>
  <si>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</si>
  <si>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</si>
  <si>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</si>
  <si>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</si>
  <si>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</si>
  <si>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</si>
  <si>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</si>
  <si>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</si>
  <si>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</si>
  <si>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</si>
  <si>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</si>
  <si>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</si>
  <si>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</si>
  <si>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</si>
  <si>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</si>
  <si>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</si>
  <si>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</si>
  <si>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</si>
  <si>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</si>
  <si>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</si>
  <si>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</si>
  <si>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</si>
  <si>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</si>
  <si>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</si>
  <si>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URGENT SHIP</t>
  </si>
  <si>
    <t>Warehouse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</si>
</sst>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5</xdr:row>
      <xdr:rowOff>95250</xdr:rowOff>
    </xdr:from>
    <xdr:to>
      <xdr:col>18</xdr:col>
      <xdr:colOff>130810</xdr:colOff>
      <xdr:row>20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6576060" y="1009650"/>
          <a:ext cx="5403850" cy="273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H13"/>
  <sheetViews>
    <sheetView tabSelected="1" workbookViewId="0">
      <selection activeCell="H3" sqref="H3"/>
    </sheetView>
  </sheetViews>
  <sheetFormatPr defaultRowHeight="14.4" x14ac:dyDescent="0.3"/>
  <cols>
    <col min="7" max="7" width="12.77734375" customWidth="1"/>
    <col min="8" max="8" width="16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5</v>
      </c>
      <c r="B2" s="2" t="s">
        <v>6</v>
      </c>
      <c r="C2" s="2" t="s">
        <v>7</v>
      </c>
      <c r="D2" s="2">
        <v>3</v>
      </c>
      <c r="E2" s="2" t="s">
        <v>8</v>
      </c>
      <c r="F2" s="3" t="str">
        <f>LEFT(B2,2)</f>
        <v>TX</v>
      </c>
      <c r="G2" s="2" t="str">
        <f>IF(AND(C2="PENDING",D2&lt;5),"SHIP NOW","HOLD")</f>
        <v>SHIP NOW</v>
      </c>
      <c r="H2" s="2" t="str">
        <f>IF(G2="SHIP NOW",_xlfn.CONCAT(F2,"-","RUSH ORDER"),IF(G2="HOLD",_xlfn.CONCAT(F2,"-","WAIT")))</f>
        <v>TX-RUSH ORDER</v>
      </c>
    </row>
    <row r="3" spans="1:8" x14ac:dyDescent="0.3">
      <c r="A3" s="2" t="s">
        <v>9</v>
      </c>
      <c r="B3" s="2" t="s">
        <v>10</v>
      </c>
      <c r="C3" s="2" t="s">
        <v>11</v>
      </c>
      <c r="D3" s="2">
        <v>12</v>
      </c>
      <c r="E3" s="2" t="s">
        <v>12</v>
      </c>
      <c r="F3" s="3" t="str">
        <f t="shared" ref="F3:F13" si="0">LEFT(B3,2)</f>
        <v>NY</v>
      </c>
      <c r="G3" s="2" t="str">
        <f t="shared" ref="G3:G13" si="1">IF(AND(C3="PENDING",D3&lt;5),"SHIP NOW","HOLD")</f>
        <v>HOLD</v>
      </c>
      <c r="H3" s="2" t="str">
        <f t="shared" ref="H3:H13" si="2">IF(G3="SHIP NOW",_xlfn.CONCAT(F3,"-","RUSH ORDER"),IF(G3="HOLD",_xlfn.CONCAT(F3,"-","WAIT")))</f>
        <v>NY-WAIT</v>
      </c>
    </row>
    <row r="4" spans="1:8" x14ac:dyDescent="0.3">
      <c r="A4" s="2" t="s">
        <v>13</v>
      </c>
      <c r="B4" s="2" t="s">
        <v>14</v>
      </c>
      <c r="C4" s="2" t="s">
        <v>7</v>
      </c>
      <c r="D4" s="2">
        <v>8</v>
      </c>
      <c r="E4" s="2" t="s">
        <v>15</v>
      </c>
      <c r="F4" s="3" t="str">
        <f t="shared" si="0"/>
        <v>CA</v>
      </c>
      <c r="G4" s="2" t="str">
        <f t="shared" si="1"/>
        <v>HOLD</v>
      </c>
      <c r="H4" s="2" t="str">
        <f t="shared" si="2"/>
        <v>CA-WAIT</v>
      </c>
    </row>
    <row r="5" spans="1:8" x14ac:dyDescent="0.3">
      <c r="A5" s="2" t="s">
        <v>16</v>
      </c>
      <c r="B5" s="2" t="s">
        <v>17</v>
      </c>
      <c r="C5" s="2" t="s">
        <v>7</v>
      </c>
      <c r="D5" s="2">
        <v>2</v>
      </c>
      <c r="E5" s="2" t="s">
        <v>8</v>
      </c>
      <c r="F5" s="3" t="str">
        <f t="shared" si="0"/>
        <v>FL</v>
      </c>
      <c r="G5" s="2" t="str">
        <f t="shared" si="1"/>
        <v>SHIP NOW</v>
      </c>
      <c r="H5" s="2" t="str">
        <f t="shared" si="2"/>
        <v>FL-RUSH ORDER</v>
      </c>
    </row>
    <row r="6" spans="1:8" x14ac:dyDescent="0.3">
      <c r="A6" s="2" t="s">
        <v>18</v>
      </c>
      <c r="B6" s="2" t="s">
        <v>19</v>
      </c>
      <c r="C6" s="2" t="s">
        <v>20</v>
      </c>
      <c r="D6" s="2">
        <v>1</v>
      </c>
      <c r="E6" s="2" t="s">
        <v>15</v>
      </c>
      <c r="F6" s="3" t="str">
        <f t="shared" si="0"/>
        <v>TX</v>
      </c>
      <c r="G6" s="2" t="str">
        <f t="shared" si="1"/>
        <v>HOLD</v>
      </c>
      <c r="H6" s="2" t="str">
        <f t="shared" si="2"/>
        <v>TX-WAIT</v>
      </c>
    </row>
    <row r="7" spans="1:8" x14ac:dyDescent="0.3">
      <c r="A7" s="2" t="s">
        <v>21</v>
      </c>
      <c r="B7" s="2" t="s">
        <v>22</v>
      </c>
      <c r="C7" s="2" t="s">
        <v>7</v>
      </c>
      <c r="D7" s="2">
        <v>4</v>
      </c>
      <c r="E7" s="2" t="s">
        <v>12</v>
      </c>
      <c r="F7" s="3" t="str">
        <f t="shared" si="0"/>
        <v>WA</v>
      </c>
      <c r="G7" s="2" t="str">
        <f t="shared" si="1"/>
        <v>SHIP NOW</v>
      </c>
      <c r="H7" s="2" t="str">
        <f t="shared" si="2"/>
        <v>WA-RUSH ORDER</v>
      </c>
    </row>
    <row r="8" spans="1:8" x14ac:dyDescent="0.3">
      <c r="A8" s="2" t="s">
        <v>23</v>
      </c>
      <c r="B8" s="2" t="s">
        <v>24</v>
      </c>
      <c r="C8" s="2" t="s">
        <v>7</v>
      </c>
      <c r="D8" s="2">
        <v>10</v>
      </c>
      <c r="E8" s="2" t="s">
        <v>8</v>
      </c>
      <c r="F8" s="3" t="str">
        <f t="shared" si="0"/>
        <v>NY</v>
      </c>
      <c r="G8" s="2" t="str">
        <f t="shared" si="1"/>
        <v>HOLD</v>
      </c>
      <c r="H8" s="2" t="str">
        <f t="shared" si="2"/>
        <v>NY-WAIT</v>
      </c>
    </row>
    <row r="9" spans="1:8" x14ac:dyDescent="0.3">
      <c r="A9" s="2" t="s">
        <v>25</v>
      </c>
      <c r="B9" s="2" t="s">
        <v>26</v>
      </c>
      <c r="C9" s="2" t="s">
        <v>11</v>
      </c>
      <c r="D9" s="2">
        <v>5</v>
      </c>
      <c r="E9" s="2" t="s">
        <v>12</v>
      </c>
      <c r="F9" s="3" t="str">
        <f t="shared" si="0"/>
        <v>CA</v>
      </c>
      <c r="G9" s="2" t="str">
        <f t="shared" si="1"/>
        <v>HOLD</v>
      </c>
      <c r="H9" s="2" t="str">
        <f t="shared" si="2"/>
        <v>CA-WAIT</v>
      </c>
    </row>
    <row r="10" spans="1:8" x14ac:dyDescent="0.3">
      <c r="A10" s="2" t="s">
        <v>27</v>
      </c>
      <c r="B10" s="2" t="s">
        <v>28</v>
      </c>
      <c r="C10" s="2" t="s">
        <v>7</v>
      </c>
      <c r="D10" s="2">
        <v>1</v>
      </c>
      <c r="E10" s="2" t="s">
        <v>8</v>
      </c>
      <c r="F10" s="3" t="str">
        <f t="shared" si="0"/>
        <v>IL</v>
      </c>
      <c r="G10" s="2" t="str">
        <f t="shared" si="1"/>
        <v>SHIP NOW</v>
      </c>
      <c r="H10" s="2" t="str">
        <f t="shared" si="2"/>
        <v>IL-RUSH ORDER</v>
      </c>
    </row>
    <row r="11" spans="1:8" x14ac:dyDescent="0.3">
      <c r="A11" s="2" t="s">
        <v>29</v>
      </c>
      <c r="B11" s="2" t="s">
        <v>30</v>
      </c>
      <c r="C11" s="2" t="s">
        <v>7</v>
      </c>
      <c r="D11" s="2">
        <v>6</v>
      </c>
      <c r="E11" s="2" t="s">
        <v>15</v>
      </c>
      <c r="F11" s="3" t="str">
        <f t="shared" si="0"/>
        <v>FL</v>
      </c>
      <c r="G11" s="2" t="str">
        <f t="shared" si="1"/>
        <v>HOLD</v>
      </c>
      <c r="H11" s="2" t="str">
        <f t="shared" si="2"/>
        <v>FL-WAIT</v>
      </c>
    </row>
    <row r="12" spans="1:8" x14ac:dyDescent="0.3">
      <c r="A12" s="2" t="s">
        <v>31</v>
      </c>
      <c r="B12" s="2" t="s">
        <v>32</v>
      </c>
      <c r="C12" s="2" t="s">
        <v>7</v>
      </c>
      <c r="D12" s="2">
        <v>15</v>
      </c>
      <c r="E12" s="2" t="s">
        <v>12</v>
      </c>
      <c r="F12" s="3" t="str">
        <f t="shared" si="0"/>
        <v>NV</v>
      </c>
      <c r="G12" s="2" t="str">
        <f t="shared" si="1"/>
        <v>HOLD</v>
      </c>
      <c r="H12" s="2" t="str">
        <f t="shared" si="2"/>
        <v>NV-WAIT</v>
      </c>
    </row>
    <row r="13" spans="1:8" x14ac:dyDescent="0.3">
      <c r="A13" s="2" t="s">
        <v>33</v>
      </c>
      <c r="B13" s="2" t="s">
        <v>34</v>
      </c>
      <c r="C13" s="2" t="s">
        <v>7</v>
      </c>
      <c r="D13" s="2">
        <v>3</v>
      </c>
      <c r="E13" s="2" t="s">
        <v>8</v>
      </c>
      <c r="F13" s="3" t="str">
        <f t="shared" si="0"/>
        <v>OH</v>
      </c>
      <c r="G13" s="2" t="str">
        <f t="shared" si="1"/>
        <v>SHIP NOW</v>
      </c>
      <c r="H13" s="2" t="str">
        <f t="shared" si="2"/>
        <v>OH-RUSH ORDER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2025-11-29T11:21:04Z</dcterms:created>
  <dcterms:modified xsi:type="dcterms:W3CDTF">2025-12-02T11:21:49Z</dcterms:modified>
</cp:coreProperties>
</file>